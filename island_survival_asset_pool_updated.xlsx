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KTKLN\Downloads\"/>
    </mc:Choice>
  </mc:AlternateContent>
  <xr:revisionPtr revIDLastSave="0" documentId="13_ncr:1_{1CFB089F-DAEC-4FF2-BE3D-F3D59A04DE6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Asset Pool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Basis: design document sections 7-12 and current Unity Asset Store free candidates checked on 2026-03-09. Source URLs are kept in column R as plain-text citations.</t>
        </r>
      </text>
    </comment>
  </commentList>
</comments>
</file>

<file path=xl/sharedStrings.xml><?xml version="1.0" encoding="utf-8"?>
<sst xmlns="http://schemas.openxmlformats.org/spreadsheetml/2006/main" count="244" uniqueCount="132">
  <si>
    <t>Island Survival — таблица пула ассетов</t>
  </si>
  <si>
    <t>ID</t>
  </si>
  <si>
    <t>Категория</t>
  </si>
  <si>
    <t>Название ассета</t>
  </si>
  <si>
    <t>Приоритет</t>
  </si>
  <si>
    <t>Стратегия загрузки</t>
  </si>
  <si>
    <t>target_polygon_budget</t>
  </si>
  <si>
    <t>target_texture_sizes</t>
  </si>
  <si>
    <t>Сжатие</t>
  </si>
  <si>
    <t>LOD</t>
  </si>
  <si>
    <t>Коллайдер</t>
  </si>
  <si>
    <t>Автор</t>
  </si>
  <si>
    <t>Формат</t>
  </si>
  <si>
    <t>Версия</t>
  </si>
  <si>
    <t>Лицензия</t>
  </si>
  <si>
    <t>Source URL</t>
  </si>
  <si>
    <t>char_001</t>
  </si>
  <si>
    <t>Character</t>
  </si>
  <si>
    <t>Survivor_Character</t>
  </si>
  <si>
    <t>Critical</t>
  </si>
  <si>
    <t>Core</t>
  </si>
  <si>
    <t>2048,1024,512</t>
  </si>
  <si>
    <t>DXT5</t>
  </si>
  <si>
    <t>Capsule Collider</t>
  </si>
  <si>
    <t>MB Maksim Bugrimov</t>
  </si>
  <si>
    <t>FBX/Prefab</t>
  </si>
  <si>
    <t>1.0</t>
  </si>
  <si>
    <t>Standard Unity Asset Store EULA / Extension Asset</t>
  </si>
  <si>
    <t>https://assetstore.unity.com/packages/3d/characters/humanoids/humans/adventure-character-201384</t>
  </si>
  <si>
    <t>ui_001</t>
  </si>
  <si>
    <t>UI</t>
  </si>
  <si>
    <t>HUD_Resources</t>
  </si>
  <si>
    <t>High</t>
  </si>
  <si>
    <t>ETC2</t>
  </si>
  <si>
    <t>-</t>
  </si>
  <si>
    <t>Valley Land Games</t>
  </si>
  <si>
    <t>PNG/Prefab</t>
  </si>
  <si>
    <t>https://assetstore.unity.com/packages/2d/gui/icons/free-ui-pack-170878</t>
  </si>
  <si>
    <t>ui_002</t>
  </si>
  <si>
    <t>Menu_Buttons</t>
  </si>
  <si>
    <t>Medium</t>
  </si>
  <si>
    <t>1024,512</t>
  </si>
  <si>
    <t>env_001</t>
  </si>
  <si>
    <t>Environment</t>
  </si>
  <si>
    <t>Island_Terrain</t>
  </si>
  <si>
    <t>Streaming</t>
  </si>
  <si>
    <t>Mesh Collider</t>
  </si>
  <si>
    <t>CodeMonky</t>
  </si>
  <si>
    <t>UnityPackage/Tool</t>
  </si>
  <si>
    <t>https://assetstore.unity.com/packages/tools/terrain/procedural-island-basis-generator-58951</t>
  </si>
  <si>
    <t>prop_001</t>
  </si>
  <si>
    <t>Palm_Tree</t>
  </si>
  <si>
    <t>Baldinoboy</t>
  </si>
  <si>
    <t>2.03</t>
  </si>
  <si>
    <t>https://assetstore.unity.com/packages/3d/vegetation/trees/coconut-palm-tree-pack-7888</t>
  </si>
  <si>
    <t>prop_002</t>
  </si>
  <si>
    <t>Jungle_Tree</t>
  </si>
  <si>
    <t>Shapes</t>
  </si>
  <si>
    <t>https://assetstore.unity.com/packages/3d/environments/nature-starter-kit-2-52977</t>
  </si>
  <si>
    <t>prop_003</t>
  </si>
  <si>
    <t>Grass_Bush</t>
  </si>
  <si>
    <t>Mesh/Capsule Collider</t>
  </si>
  <si>
    <t>Nobiax / Yughues</t>
  </si>
  <si>
    <t>2.0</t>
  </si>
  <si>
    <t>https://assetstore.unity.com/packages/package/13168</t>
  </si>
  <si>
    <t>prop_004</t>
  </si>
  <si>
    <t>Props</t>
  </si>
  <si>
    <t>Rock_Model</t>
  </si>
  <si>
    <t>Meanwhile On The Moon</t>
  </si>
  <si>
    <t>https://assetstore.unity.com/packages/3d/environments/stylized-rocks-free-sample-283215</t>
  </si>
  <si>
    <t>prop_005</t>
  </si>
  <si>
    <t>Wood_Log</t>
  </si>
  <si>
    <t>1.0.0</t>
  </si>
  <si>
    <t>https://assetstore.unity.com/packages/3d/props/black-cherry-firewood-01-307298</t>
  </si>
  <si>
    <t>prop_006</t>
  </si>
  <si>
    <t>Stick_Model</t>
  </si>
  <si>
    <t>512</t>
  </si>
  <si>
    <t>Artistic Mechanics</t>
  </si>
  <si>
    <t>01</t>
  </si>
  <si>
    <t>https://assetstore.unity.com/packages/3d/props/tools/bush-craft-starter-pack-56928</t>
  </si>
  <si>
    <t>prop_008</t>
  </si>
  <si>
    <t>Mushroom_Pickup</t>
  </si>
  <si>
    <t>Low</t>
  </si>
  <si>
    <t>OnDemand</t>
  </si>
  <si>
    <t>Adventure Forge</t>
  </si>
  <si>
    <t>https://assetstore.unity.com/packages/3d/vegetation/pbr-mushroom-pack-lite-56263</t>
  </si>
  <si>
    <t>prop_007</t>
  </si>
  <si>
    <t>Coconut_Model</t>
  </si>
  <si>
    <t>Carlos Garcia</t>
  </si>
  <si>
    <t>https://assetstore.unity.com/packages/3d/props/food/food-and-kitchen-package-275879</t>
  </si>
  <si>
    <t>vfx_001</t>
  </si>
  <si>
    <t>VFX</t>
  </si>
  <si>
    <t>Resource_Collect_VFX</t>
  </si>
  <si>
    <t>To be defined</t>
  </si>
  <si>
    <t>Prefab</t>
  </si>
  <si>
    <t>v1</t>
  </si>
  <si>
    <t>—</t>
  </si>
  <si>
    <t>sfx_001</t>
  </si>
  <si>
    <t>SFX</t>
  </si>
  <si>
    <t>Footsteps_Crafting_SFX</t>
  </si>
  <si>
    <t>N/A (audio)</t>
  </si>
  <si>
    <t>Nox_Sound / Olivier Girardot</t>
  </si>
  <si>
    <t>WAV/Audio</t>
  </si>
  <si>
    <t>1.3 / 1.0</t>
  </si>
  <si>
    <t>https://assetstore.unity.com/packages/audio/sound-fx/foley/footsteps-essentials-189879 ; https://assetstore.unity.com/packages/audio/sound-fx/free-sound-effects-pack-155776</t>
  </si>
  <si>
    <t>prop_009</t>
  </si>
  <si>
    <t>Survival_Tools_Campfire</t>
  </si>
  <si>
    <t>DEVTRICKED</t>
  </si>
  <si>
    <t>1.3</t>
  </si>
  <si>
    <t>https://assetstore.unity.com/packages/3d/props/low-poly-forest-survival-starter-pack-lite-334794</t>
  </si>
  <si>
    <t>sfx_002</t>
  </si>
  <si>
    <t>Nature_Ambience</t>
  </si>
  <si>
    <t>Nox_Sound</t>
  </si>
  <si>
    <t>1.2</t>
  </si>
  <si>
    <t>https://assetstore.unity.com/packages/audio/ambient/nature/nature-essentials-208227#content</t>
  </si>
  <si>
    <t>Методика и допущения</t>
  </si>
  <si>
    <t>Что сделано</t>
  </si>
  <si>
    <t>Таблица обновлена по списку ссылок пользователя; исходные техтаргеты и стратегии загрузки сохранены из дизайн-документа.</t>
  </si>
  <si>
    <t>Шаблон метаданных</t>
  </si>
  <si>
    <t>Сохранены поля из раздела 12: ID, Название ассета, Автор, Формат, Версия, Лицензия, Сжатие, LOD.</t>
  </si>
  <si>
    <t>Стратегии загрузки</t>
  </si>
  <si>
    <t>Core = персонаж и UI; Streaming = окружение и уровень; OnDemand = VFX, SFX, респавнимые collectable-объекты.</t>
  </si>
  <si>
    <t>Тех. таргеты</t>
  </si>
  <si>
    <t>Заданы на основе ограничений документа: крупные ассеты до 2048, мелкие до 1024/512, LOD 0-3, полигоны по классу объекта.</t>
  </si>
  <si>
    <t>Free candidate status</t>
  </si>
  <si>
    <t>Exact = точное совпадение; Good fit = хороший бесплатный кандидат; Partial = пакет требует ручной проверки состава; Gap = пользователь не прислал подтверждённый бесплатный пакет.</t>
  </si>
  <si>
    <t>Особые случаи</t>
  </si>
  <si>
    <t>Добавлены отдельные строки для инструментов/костра и фоновых звуков природы; для VFX бесплатный пакет не был указан.</t>
  </si>
  <si>
    <t>Сводка по стратегиям</t>
  </si>
  <si>
    <t>Всего строк</t>
  </si>
  <si>
    <t>Альтернативы</t>
  </si>
  <si>
    <t>Для деревьев: Trees Collection Asset PBR. Для камней/валунов: Rocks FREE pack и Free Rocks. Для кустов: Nature Starter Kit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</si>
</sst>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rgb="FF666666"/>
      <name val="Calibri"/>
    </font>
    <font>
      <sz val="11"/>
      <color rgb="FF008000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A"/>
      </patternFill>
    </fill>
    <fill>
      <patternFill patternType="solid">
        <fgColor rgb="FFFFFFFF"/>
      </patternFill>
    </fill>
    <fill>
      <patternFill patternType="solid">
        <fgColor rgb="FFEAF7E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4" xfId="0" applyFont="1" applyFill="1" applyBorder="1" applyAlignment="1">
      <alignment vertical="top" wrapText="1"/>
    </xf>
    <xf numFmtId="0" fontId="0" fillId="0" borderId="3" xfId="0" applyBorder="1"/>
    <xf numFmtId="0" fontId="8" fillId="4" borderId="2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Pool" displayName="AssetPool" ref="A2:O16">
  <autoFilter ref="A2:O16" xr:uid="{00000000-0009-0000-0100-000001000000}"/>
  <tableColumns count="15">
    <tableColumn id="1" xr3:uid="{00000000-0010-0000-0000-000001000000}" name="ID"/>
    <tableColumn id="2" xr3:uid="{00000000-0010-0000-0000-000002000000}" name="Категория"/>
    <tableColumn id="3" xr3:uid="{00000000-0010-0000-0000-000003000000}" name="Название ассета"/>
    <tableColumn id="4" xr3:uid="{00000000-0010-0000-0000-000004000000}" name="Приоритет"/>
    <tableColumn id="5" xr3:uid="{00000000-0010-0000-0000-000005000000}" name="Стратегия загрузки"/>
    <tableColumn id="6" xr3:uid="{00000000-0010-0000-0000-000006000000}" name="target_polygon_budget"/>
    <tableColumn id="7" xr3:uid="{00000000-0010-0000-0000-000007000000}" name="target_texture_sizes"/>
    <tableColumn id="8" xr3:uid="{00000000-0010-0000-0000-000008000000}" name="Сжатие"/>
    <tableColumn id="9" xr3:uid="{00000000-0010-0000-0000-000009000000}" name="LOD"/>
    <tableColumn id="10" xr3:uid="{00000000-0010-0000-0000-00000A000000}" name="Коллайдер"/>
    <tableColumn id="11" xr3:uid="{00000000-0010-0000-0000-00000B000000}" name="Автор"/>
    <tableColumn id="12" xr3:uid="{00000000-0010-0000-0000-00000C000000}" name="Формат"/>
    <tableColumn id="13" xr3:uid="{00000000-0010-0000-0000-00000D000000}" name="Версия"/>
    <tableColumn id="14" xr3:uid="{00000000-0010-0000-0000-00000E000000}" name="Лицензия"/>
    <tableColumn id="18" xr3:uid="{00000000-0010-0000-0000-000012000000}" name="Source UR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assetstore.unity.com/packages/3d/props/tools/bush-craft-starter-pack-56928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showGridLines="0" tabSelected="1" zoomScale="70" zoomScaleNormal="70" workbookViewId="0">
      <selection activeCell="S21" sqref="S21:T21"/>
    </sheetView>
  </sheetViews>
  <sheetFormatPr defaultRowHeight="14.6" x14ac:dyDescent="0.4"/>
  <cols>
    <col min="1" max="1" width="12" customWidth="1"/>
    <col min="2" max="2" width="14" customWidth="1"/>
    <col min="3" max="3" width="22" customWidth="1"/>
    <col min="4" max="4" width="11" customWidth="1"/>
    <col min="5" max="5" width="14" customWidth="1"/>
    <col min="6" max="6" width="15" customWidth="1"/>
    <col min="7" max="7" width="18" customWidth="1"/>
    <col min="8" max="8" width="12" customWidth="1"/>
    <col min="9" max="9" width="7" customWidth="1"/>
    <col min="10" max="10" width="16" customWidth="1"/>
    <col min="11" max="11" width="13" customWidth="1"/>
    <col min="12" max="12" width="12" customWidth="1"/>
    <col min="13" max="13" width="10" customWidth="1"/>
    <col min="14" max="14" width="26" customWidth="1"/>
    <col min="15" max="15" width="45" customWidth="1"/>
  </cols>
  <sheetData>
    <row r="1" spans="1:15" ht="24" customHeight="1" x14ac:dyDescent="0.4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2.049999999999997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9.15" x14ac:dyDescent="0.4">
      <c r="A3" s="2" t="s">
        <v>16</v>
      </c>
      <c r="B3" s="2" t="s">
        <v>17</v>
      </c>
      <c r="C3" s="2" t="s">
        <v>18</v>
      </c>
      <c r="D3" s="2" t="s">
        <v>19</v>
      </c>
      <c r="E3" s="3" t="s">
        <v>20</v>
      </c>
      <c r="F3" s="4">
        <v>10000</v>
      </c>
      <c r="G3" s="4" t="s">
        <v>21</v>
      </c>
      <c r="H3" s="4" t="s">
        <v>22</v>
      </c>
      <c r="I3" s="4">
        <v>3</v>
      </c>
      <c r="J3" s="4" t="s">
        <v>23</v>
      </c>
      <c r="K3" s="5" t="s">
        <v>24</v>
      </c>
      <c r="L3" s="5" t="s">
        <v>25</v>
      </c>
      <c r="M3" s="5" t="s">
        <v>26</v>
      </c>
      <c r="N3" s="5" t="s">
        <v>27</v>
      </c>
      <c r="O3" s="6" t="s">
        <v>28</v>
      </c>
    </row>
    <row r="4" spans="1:15" ht="29.15" x14ac:dyDescent="0.4">
      <c r="A4" s="2" t="s">
        <v>29</v>
      </c>
      <c r="B4" s="2" t="s">
        <v>30</v>
      </c>
      <c r="C4" s="2" t="s">
        <v>31</v>
      </c>
      <c r="D4" s="2" t="s">
        <v>32</v>
      </c>
      <c r="E4" s="3" t="s">
        <v>20</v>
      </c>
      <c r="F4" s="4">
        <v>0</v>
      </c>
      <c r="G4" s="4" t="s">
        <v>21</v>
      </c>
      <c r="H4" s="4" t="s">
        <v>33</v>
      </c>
      <c r="I4" s="4">
        <v>0</v>
      </c>
      <c r="J4" s="4" t="s">
        <v>34</v>
      </c>
      <c r="K4" s="5" t="s">
        <v>35</v>
      </c>
      <c r="L4" s="5" t="s">
        <v>36</v>
      </c>
      <c r="M4" s="5" t="s">
        <v>26</v>
      </c>
      <c r="N4" s="5" t="s">
        <v>27</v>
      </c>
      <c r="O4" s="6" t="s">
        <v>37</v>
      </c>
    </row>
    <row r="5" spans="1:15" ht="29.15" x14ac:dyDescent="0.4">
      <c r="A5" s="2" t="s">
        <v>38</v>
      </c>
      <c r="B5" s="2" t="s">
        <v>30</v>
      </c>
      <c r="C5" s="2" t="s">
        <v>39</v>
      </c>
      <c r="D5" s="2" t="s">
        <v>40</v>
      </c>
      <c r="E5" s="3" t="s">
        <v>20</v>
      </c>
      <c r="F5" s="4">
        <v>0</v>
      </c>
      <c r="G5" s="4" t="s">
        <v>41</v>
      </c>
      <c r="H5" s="4" t="s">
        <v>33</v>
      </c>
      <c r="I5" s="4">
        <v>0</v>
      </c>
      <c r="J5" s="4" t="s">
        <v>34</v>
      </c>
      <c r="K5" s="5" t="s">
        <v>35</v>
      </c>
      <c r="L5" s="5" t="s">
        <v>36</v>
      </c>
      <c r="M5" s="5" t="s">
        <v>26</v>
      </c>
      <c r="N5" s="5" t="s">
        <v>27</v>
      </c>
      <c r="O5" s="6" t="s">
        <v>37</v>
      </c>
    </row>
    <row r="6" spans="1:15" ht="29.15" x14ac:dyDescent="0.4">
      <c r="A6" s="2" t="s">
        <v>42</v>
      </c>
      <c r="B6" s="2" t="s">
        <v>43</v>
      </c>
      <c r="C6" s="2" t="s">
        <v>44</v>
      </c>
      <c r="D6" s="2" t="s">
        <v>19</v>
      </c>
      <c r="E6" s="7" t="s">
        <v>45</v>
      </c>
      <c r="F6" s="4">
        <v>15000</v>
      </c>
      <c r="G6" s="4" t="s">
        <v>21</v>
      </c>
      <c r="H6" s="4" t="s">
        <v>22</v>
      </c>
      <c r="I6" s="4">
        <v>2</v>
      </c>
      <c r="J6" s="4" t="s">
        <v>46</v>
      </c>
      <c r="K6" s="5" t="s">
        <v>47</v>
      </c>
      <c r="L6" s="5" t="s">
        <v>48</v>
      </c>
      <c r="M6" s="5" t="s">
        <v>26</v>
      </c>
      <c r="N6" s="5" t="s">
        <v>27</v>
      </c>
      <c r="O6" s="6" t="s">
        <v>49</v>
      </c>
    </row>
    <row r="7" spans="1:15" ht="29.15" x14ac:dyDescent="0.4">
      <c r="A7" s="2" t="s">
        <v>50</v>
      </c>
      <c r="B7" s="2" t="s">
        <v>43</v>
      </c>
      <c r="C7" s="2" t="s">
        <v>51</v>
      </c>
      <c r="D7" s="2" t="s">
        <v>32</v>
      </c>
      <c r="E7" s="7" t="s">
        <v>45</v>
      </c>
      <c r="F7" s="4">
        <v>5000</v>
      </c>
      <c r="G7" s="4" t="s">
        <v>41</v>
      </c>
      <c r="H7" s="4" t="s">
        <v>22</v>
      </c>
      <c r="I7" s="4">
        <v>2</v>
      </c>
      <c r="J7" s="4" t="s">
        <v>23</v>
      </c>
      <c r="K7" s="5" t="s">
        <v>52</v>
      </c>
      <c r="L7" s="5" t="s">
        <v>25</v>
      </c>
      <c r="M7" s="5" t="s">
        <v>53</v>
      </c>
      <c r="N7" s="5" t="s">
        <v>27</v>
      </c>
      <c r="O7" s="6" t="s">
        <v>54</v>
      </c>
    </row>
    <row r="8" spans="1:15" ht="29.15" x14ac:dyDescent="0.4">
      <c r="A8" s="2" t="s">
        <v>55</v>
      </c>
      <c r="B8" s="2" t="s">
        <v>43</v>
      </c>
      <c r="C8" s="2" t="s">
        <v>56</v>
      </c>
      <c r="D8" s="2" t="s">
        <v>32</v>
      </c>
      <c r="E8" s="7" t="s">
        <v>45</v>
      </c>
      <c r="F8" s="4">
        <v>5000</v>
      </c>
      <c r="G8" s="4" t="s">
        <v>41</v>
      </c>
      <c r="H8" s="4" t="s">
        <v>22</v>
      </c>
      <c r="I8" s="4">
        <v>2</v>
      </c>
      <c r="J8" s="4" t="s">
        <v>23</v>
      </c>
      <c r="K8" s="5" t="s">
        <v>57</v>
      </c>
      <c r="L8" s="5" t="s">
        <v>25</v>
      </c>
      <c r="M8" s="5" t="s">
        <v>26</v>
      </c>
      <c r="N8" s="5" t="s">
        <v>27</v>
      </c>
      <c r="O8" s="6" t="s">
        <v>58</v>
      </c>
    </row>
    <row r="9" spans="1:15" ht="29.15" x14ac:dyDescent="0.4">
      <c r="A9" s="2" t="s">
        <v>59</v>
      </c>
      <c r="B9" s="2" t="s">
        <v>43</v>
      </c>
      <c r="C9" s="2" t="s">
        <v>60</v>
      </c>
      <c r="D9" s="2" t="s">
        <v>32</v>
      </c>
      <c r="E9" s="7" t="s">
        <v>45</v>
      </c>
      <c r="F9" s="4">
        <v>2000</v>
      </c>
      <c r="G9" s="4" t="s">
        <v>41</v>
      </c>
      <c r="H9" s="4" t="s">
        <v>22</v>
      </c>
      <c r="I9" s="4">
        <v>1</v>
      </c>
      <c r="J9" s="4" t="s">
        <v>61</v>
      </c>
      <c r="K9" s="5" t="s">
        <v>62</v>
      </c>
      <c r="L9" s="5" t="s">
        <v>25</v>
      </c>
      <c r="M9" s="5" t="s">
        <v>63</v>
      </c>
      <c r="N9" s="5" t="s">
        <v>27</v>
      </c>
      <c r="O9" s="6" t="s">
        <v>64</v>
      </c>
    </row>
    <row r="10" spans="1:15" ht="29.15" x14ac:dyDescent="0.4">
      <c r="A10" s="2" t="s">
        <v>65</v>
      </c>
      <c r="B10" s="2" t="s">
        <v>66</v>
      </c>
      <c r="C10" s="2" t="s">
        <v>67</v>
      </c>
      <c r="D10" s="2" t="s">
        <v>32</v>
      </c>
      <c r="E10" s="7" t="s">
        <v>45</v>
      </c>
      <c r="F10" s="4">
        <v>3000</v>
      </c>
      <c r="G10" s="4" t="s">
        <v>41</v>
      </c>
      <c r="H10" s="4" t="s">
        <v>22</v>
      </c>
      <c r="I10" s="4">
        <v>2</v>
      </c>
      <c r="J10" s="4" t="s">
        <v>46</v>
      </c>
      <c r="K10" s="5" t="s">
        <v>68</v>
      </c>
      <c r="L10" s="5" t="s">
        <v>25</v>
      </c>
      <c r="M10" s="5" t="s">
        <v>26</v>
      </c>
      <c r="N10" s="5" t="s">
        <v>27</v>
      </c>
      <c r="O10" s="6" t="s">
        <v>69</v>
      </c>
    </row>
    <row r="11" spans="1:15" ht="29.15" x14ac:dyDescent="0.4">
      <c r="A11" s="2" t="s">
        <v>70</v>
      </c>
      <c r="B11" s="2" t="s">
        <v>66</v>
      </c>
      <c r="C11" s="2" t="s">
        <v>71</v>
      </c>
      <c r="D11" s="2" t="s">
        <v>32</v>
      </c>
      <c r="E11" s="7" t="s">
        <v>45</v>
      </c>
      <c r="F11" s="4">
        <v>2500</v>
      </c>
      <c r="G11" s="4" t="s">
        <v>41</v>
      </c>
      <c r="H11" s="4" t="s">
        <v>22</v>
      </c>
      <c r="I11" s="4">
        <v>2</v>
      </c>
      <c r="J11" s="4" t="s">
        <v>46</v>
      </c>
      <c r="K11" s="5" t="s">
        <v>52</v>
      </c>
      <c r="L11" s="5" t="s">
        <v>25</v>
      </c>
      <c r="M11" s="5" t="s">
        <v>72</v>
      </c>
      <c r="N11" s="5" t="s">
        <v>27</v>
      </c>
      <c r="O11" s="6" t="s">
        <v>73</v>
      </c>
    </row>
    <row r="12" spans="1:15" ht="29.15" x14ac:dyDescent="0.4">
      <c r="A12" s="2" t="s">
        <v>74</v>
      </c>
      <c r="B12" s="2" t="s">
        <v>66</v>
      </c>
      <c r="C12" s="2" t="s">
        <v>75</v>
      </c>
      <c r="D12" s="2" t="s">
        <v>32</v>
      </c>
      <c r="E12" s="7" t="s">
        <v>45</v>
      </c>
      <c r="F12" s="4">
        <v>500</v>
      </c>
      <c r="G12" s="4" t="s">
        <v>76</v>
      </c>
      <c r="H12" s="4" t="s">
        <v>22</v>
      </c>
      <c r="I12" s="4">
        <v>1</v>
      </c>
      <c r="J12" s="4" t="s">
        <v>46</v>
      </c>
      <c r="K12" s="5" t="s">
        <v>77</v>
      </c>
      <c r="L12" s="5" t="s">
        <v>25</v>
      </c>
      <c r="M12" s="5" t="s">
        <v>78</v>
      </c>
      <c r="N12" s="5" t="s">
        <v>27</v>
      </c>
      <c r="O12" s="17" t="s">
        <v>79</v>
      </c>
    </row>
    <row r="13" spans="1:15" ht="29.15" x14ac:dyDescent="0.4">
      <c r="A13" s="2" t="s">
        <v>80</v>
      </c>
      <c r="B13" s="2" t="s">
        <v>66</v>
      </c>
      <c r="C13" s="2" t="s">
        <v>81</v>
      </c>
      <c r="D13" s="2" t="s">
        <v>82</v>
      </c>
      <c r="E13" s="8" t="s">
        <v>83</v>
      </c>
      <c r="F13" s="4">
        <v>500</v>
      </c>
      <c r="G13" s="4" t="s">
        <v>76</v>
      </c>
      <c r="H13" s="4" t="s">
        <v>22</v>
      </c>
      <c r="I13" s="4">
        <v>1</v>
      </c>
      <c r="J13" s="4" t="s">
        <v>46</v>
      </c>
      <c r="K13" s="5" t="s">
        <v>84</v>
      </c>
      <c r="L13" s="5" t="s">
        <v>25</v>
      </c>
      <c r="M13" s="5" t="s">
        <v>26</v>
      </c>
      <c r="N13" s="5" t="s">
        <v>27</v>
      </c>
      <c r="O13" s="6" t="s">
        <v>85</v>
      </c>
    </row>
    <row r="14" spans="1:15" ht="29.15" x14ac:dyDescent="0.4">
      <c r="A14" s="2" t="s">
        <v>86</v>
      </c>
      <c r="B14" s="2" t="s">
        <v>66</v>
      </c>
      <c r="C14" s="2" t="s">
        <v>87</v>
      </c>
      <c r="D14" s="2" t="s">
        <v>40</v>
      </c>
      <c r="E14" s="8" t="s">
        <v>83</v>
      </c>
      <c r="F14" s="4">
        <v>1000</v>
      </c>
      <c r="G14" s="4" t="s">
        <v>41</v>
      </c>
      <c r="H14" s="4" t="s">
        <v>22</v>
      </c>
      <c r="I14" s="4">
        <v>1</v>
      </c>
      <c r="J14" s="4" t="s">
        <v>46</v>
      </c>
      <c r="K14" s="5" t="s">
        <v>88</v>
      </c>
      <c r="L14" s="5" t="s">
        <v>25</v>
      </c>
      <c r="M14" s="5" t="s">
        <v>26</v>
      </c>
      <c r="N14" s="5" t="s">
        <v>27</v>
      </c>
      <c r="O14" s="6" t="s">
        <v>89</v>
      </c>
    </row>
    <row r="15" spans="1:15" x14ac:dyDescent="0.4">
      <c r="A15" s="2" t="s">
        <v>90</v>
      </c>
      <c r="B15" s="2" t="s">
        <v>91</v>
      </c>
      <c r="C15" s="2" t="s">
        <v>92</v>
      </c>
      <c r="D15" s="2" t="s">
        <v>82</v>
      </c>
      <c r="E15" s="8" t="s">
        <v>83</v>
      </c>
      <c r="F15" s="4">
        <v>0</v>
      </c>
      <c r="G15" s="4" t="s">
        <v>41</v>
      </c>
      <c r="H15" s="4" t="s">
        <v>33</v>
      </c>
      <c r="I15" s="4">
        <v>0</v>
      </c>
      <c r="J15" s="4" t="s">
        <v>34</v>
      </c>
      <c r="K15" s="5" t="s">
        <v>93</v>
      </c>
      <c r="L15" s="5" t="s">
        <v>94</v>
      </c>
      <c r="M15" s="5" t="s">
        <v>95</v>
      </c>
      <c r="N15" s="5" t="s">
        <v>93</v>
      </c>
      <c r="O15" s="6" t="s">
        <v>96</v>
      </c>
    </row>
    <row r="16" spans="1:15" ht="58.3" x14ac:dyDescent="0.4">
      <c r="A16" s="2" t="s">
        <v>97</v>
      </c>
      <c r="B16" s="2" t="s">
        <v>98</v>
      </c>
      <c r="C16" s="2" t="s">
        <v>99</v>
      </c>
      <c r="D16" s="2" t="s">
        <v>40</v>
      </c>
      <c r="E16" s="8" t="s">
        <v>83</v>
      </c>
      <c r="F16" s="4">
        <v>0</v>
      </c>
      <c r="G16" s="4" t="s">
        <v>34</v>
      </c>
      <c r="H16" s="4" t="s">
        <v>100</v>
      </c>
      <c r="I16" s="4">
        <v>0</v>
      </c>
      <c r="J16" s="4" t="s">
        <v>34</v>
      </c>
      <c r="K16" s="5" t="s">
        <v>101</v>
      </c>
      <c r="L16" s="5" t="s">
        <v>102</v>
      </c>
      <c r="M16" s="5" t="s">
        <v>103</v>
      </c>
      <c r="N16" s="5" t="s">
        <v>27</v>
      </c>
      <c r="O16" s="6" t="s">
        <v>104</v>
      </c>
    </row>
    <row r="17" spans="1:15" ht="29.15" x14ac:dyDescent="0.4">
      <c r="A17" s="2" t="s">
        <v>105</v>
      </c>
      <c r="B17" s="2" t="s">
        <v>66</v>
      </c>
      <c r="C17" s="2" t="s">
        <v>106</v>
      </c>
      <c r="D17" s="2" t="s">
        <v>40</v>
      </c>
      <c r="E17" s="8" t="s">
        <v>83</v>
      </c>
      <c r="F17" s="4">
        <v>3000</v>
      </c>
      <c r="G17" s="4" t="s">
        <v>41</v>
      </c>
      <c r="H17" s="4" t="s">
        <v>22</v>
      </c>
      <c r="I17" s="4">
        <v>1</v>
      </c>
      <c r="J17" s="4" t="s">
        <v>46</v>
      </c>
      <c r="K17" s="5" t="s">
        <v>107</v>
      </c>
      <c r="L17" s="5" t="s">
        <v>25</v>
      </c>
      <c r="M17" s="5" t="s">
        <v>108</v>
      </c>
      <c r="N17" s="5" t="s">
        <v>27</v>
      </c>
      <c r="O17" s="6" t="s">
        <v>109</v>
      </c>
    </row>
    <row r="18" spans="1:15" ht="29.15" x14ac:dyDescent="0.4">
      <c r="A18" s="2" t="s">
        <v>110</v>
      </c>
      <c r="B18" s="2" t="s">
        <v>98</v>
      </c>
      <c r="C18" s="2" t="s">
        <v>111</v>
      </c>
      <c r="D18" s="2" t="s">
        <v>82</v>
      </c>
      <c r="E18" s="8" t="s">
        <v>83</v>
      </c>
      <c r="F18" s="4">
        <v>0</v>
      </c>
      <c r="G18" s="4" t="s">
        <v>34</v>
      </c>
      <c r="H18" s="4" t="s">
        <v>100</v>
      </c>
      <c r="I18" s="4">
        <v>0</v>
      </c>
      <c r="J18" s="4" t="s">
        <v>34</v>
      </c>
      <c r="K18" s="5" t="s">
        <v>112</v>
      </c>
      <c r="L18" s="5" t="s">
        <v>102</v>
      </c>
      <c r="M18" s="5" t="s">
        <v>113</v>
      </c>
      <c r="N18" s="5" t="s">
        <v>27</v>
      </c>
      <c r="O18" s="6" t="s">
        <v>114</v>
      </c>
    </row>
  </sheetData>
  <mergeCells count="1">
    <mergeCell ref="A1:O1"/>
  </mergeCells>
  <hyperlinks>
    <hyperlink ref="O12" r:id="rId1" xr:uid="{D0EB4615-2C39-4F22-82E1-1209C14D7979}"/>
  </hyperlinks>
  <pageMargins left="0.7" right="0.7" top="0.75" bottom="0.75" header="0.3" footer="0.3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/>
  </sheetViews>
  <sheetFormatPr defaultRowHeight="14.6" x14ac:dyDescent="0.4"/>
  <cols>
    <col min="1" max="1" width="24" customWidth="1"/>
    <col min="2" max="2" width="95" customWidth="1"/>
  </cols>
  <sheetData>
    <row r="1" spans="1:6" ht="18.45" x14ac:dyDescent="0.5">
      <c r="A1" s="14" t="s">
        <v>115</v>
      </c>
      <c r="B1" s="12"/>
      <c r="C1" s="12"/>
      <c r="D1" s="12"/>
      <c r="E1" s="12"/>
      <c r="F1" s="12"/>
    </row>
    <row r="3" spans="1:6" ht="29.15" x14ac:dyDescent="0.4">
      <c r="A3" s="9" t="s">
        <v>116</v>
      </c>
      <c r="B3" s="10" t="s">
        <v>117</v>
      </c>
    </row>
    <row r="4" spans="1:6" x14ac:dyDescent="0.4">
      <c r="A4" s="9" t="s">
        <v>118</v>
      </c>
      <c r="B4" s="10" t="s">
        <v>119</v>
      </c>
    </row>
    <row r="5" spans="1:6" ht="29.15" x14ac:dyDescent="0.4">
      <c r="A5" s="9" t="s">
        <v>120</v>
      </c>
      <c r="B5" s="10" t="s">
        <v>121</v>
      </c>
    </row>
    <row r="6" spans="1:6" ht="29.15" x14ac:dyDescent="0.4">
      <c r="A6" s="9" t="s">
        <v>122</v>
      </c>
      <c r="B6" s="10" t="s">
        <v>123</v>
      </c>
    </row>
    <row r="7" spans="1:6" ht="29.15" x14ac:dyDescent="0.4">
      <c r="A7" s="9" t="s">
        <v>124</v>
      </c>
      <c r="B7" s="10" t="s">
        <v>125</v>
      </c>
    </row>
    <row r="8" spans="1:6" ht="29.15" x14ac:dyDescent="0.4">
      <c r="A8" s="9" t="s">
        <v>126</v>
      </c>
      <c r="B8" s="10" t="s">
        <v>127</v>
      </c>
    </row>
    <row r="9" spans="1:6" x14ac:dyDescent="0.4">
      <c r="A9" s="10"/>
      <c r="B9" s="10"/>
    </row>
    <row r="10" spans="1:6" x14ac:dyDescent="0.4">
      <c r="A10" s="15" t="s">
        <v>128</v>
      </c>
      <c r="B10" s="16"/>
    </row>
    <row r="11" spans="1:6" x14ac:dyDescent="0.4">
      <c r="A11" s="10" t="s">
        <v>20</v>
      </c>
      <c r="B11" s="11">
        <f>COUNTIF('Asset Pool'!E:E,"Core")</f>
        <v>3</v>
      </c>
    </row>
    <row r="12" spans="1:6" x14ac:dyDescent="0.4">
      <c r="A12" s="10" t="s">
        <v>45</v>
      </c>
      <c r="B12" s="11">
        <f>COUNTIF('Asset Pool'!E:E,"Streaming")</f>
        <v>7</v>
      </c>
    </row>
    <row r="13" spans="1:6" x14ac:dyDescent="0.4">
      <c r="A13" s="10" t="s">
        <v>83</v>
      </c>
      <c r="B13" s="11">
        <f>COUNTIF('Asset Pool'!E:E,"OnDemand")</f>
        <v>6</v>
      </c>
    </row>
    <row r="14" spans="1:6" x14ac:dyDescent="0.4">
      <c r="A14" s="10" t="s">
        <v>129</v>
      </c>
      <c r="B14" s="11">
        <f>COUNTA('Asset Pool'!A:A)-4</f>
        <v>14</v>
      </c>
    </row>
    <row r="15" spans="1:6" x14ac:dyDescent="0.4">
      <c r="A15" t="s">
        <v>130</v>
      </c>
      <c r="B15" t="s">
        <v>131</v>
      </c>
    </row>
  </sheetData>
  <mergeCells count="2">
    <mergeCell ref="A1:F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Pool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NKTKLN</cp:lastModifiedBy>
  <dcterms:created xsi:type="dcterms:W3CDTF">2026-03-09T15:16:33Z</dcterms:created>
  <dcterms:modified xsi:type="dcterms:W3CDTF">2026-03-09T15:19:50Z</dcterms:modified>
</cp:coreProperties>
</file>